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 Questions" sheetId="1" state="visible" r:id="rId3"/>
    <sheet name="Respons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<sst xmlns="http://schemas.openxmlformats.org/spreadsheetml/2006/main" count="246" uniqueCount="176">
  <si>
    <t xml:space="preserve">Becoming — Post-Test Survey</t>
  </si>
  <si>
    <t xml:space="preserve">Use the questions below in your Google Form. The scale guidance is included so you can paste it as the form's description.</t>
  </si>
  <si>
    <t xml:space="preserve">Likert scale used: 1 = Strongly Disagree · 4 = Neutral · 7 = Strongly Agree (unless noted otherwise).</t>
  </si>
  <si>
    <t xml:space="preserve">#</t>
  </si>
  <si>
    <t xml:space="preserve">Section</t>
  </si>
  <si>
    <t xml:space="preserve">Question</t>
  </si>
  <si>
    <t xml:space="preserve">Type</t>
  </si>
  <si>
    <t xml:space="preserve">About you</t>
  </si>
  <si>
    <t xml:space="preserve">Tester ID (the moderator fills this in)</t>
  </si>
  <si>
    <t xml:space="preserve">Short answer</t>
  </si>
  <si>
    <t xml:space="preserve">Age range</t>
  </si>
  <si>
    <t xml:space="preserve">Multiple choice (18–24 / 25–29 / 30–34 / 35+)</t>
  </si>
  <si>
    <t xml:space="preserve">Gender</t>
  </si>
  <si>
    <t xml:space="preserve">Multiple choice (F / M / NB / Prefer not to say)</t>
  </si>
  <si>
    <t xml:space="preserve">Briefly: what do you do?</t>
  </si>
  <si>
    <t xml:space="preserve">Have you used a wellness or reflection app before?</t>
  </si>
  <si>
    <t xml:space="preserve">Multiple choice (Yes, currently / Tried, stopped / Never)</t>
  </si>
  <si>
    <t xml:space="preserve">Daily Check-In</t>
  </si>
  <si>
    <t xml:space="preserve">The prompt I read felt like a real question, not a chore.</t>
  </si>
  <si>
    <t xml:space="preserve">Linear scale 1–7</t>
  </si>
  <si>
    <t xml:space="preserve">The breath felt welcome, not in the way.</t>
  </si>
  <si>
    <t xml:space="preserve">'I showed up' and 'Today is heavy' both felt like valid choices.</t>
  </si>
  <si>
    <t xml:space="preserve">The Sky / Constellation motivated me without pressuring me.</t>
  </si>
  <si>
    <t xml:space="preserve">AI Companion</t>
  </si>
  <si>
    <t xml:space="preserve">The Companion's tone felt right for me.</t>
  </si>
  <si>
    <t xml:space="preserve">I trusted the Companion to respond appropriately.</t>
  </si>
  <si>
    <t xml:space="preserve">The Companion remembered something I told it in onboarding.</t>
  </si>
  <si>
    <t xml:space="preserve">The Companion offered presence before advice.</t>
  </si>
  <si>
    <t xml:space="preserve">I felt safe being honest with the Companion.</t>
  </si>
  <si>
    <t xml:space="preserve">Overall</t>
  </si>
  <si>
    <t xml:space="preserve">I would open Becoming on a hard day.</t>
  </si>
  <si>
    <t xml:space="preserve">I would open Becoming on a normal day.</t>
  </si>
  <si>
    <t xml:space="preserve">The system was easy to use.</t>
  </si>
  <si>
    <t xml:space="preserve">The experience felt intuitive.</t>
  </si>
  <si>
    <t xml:space="preserve">The 'You're Not Alone' counter felt comforting (not performative).</t>
  </si>
  <si>
    <t xml:space="preserve">I would recommend Becoming to a friend who has hard days.</t>
  </si>
  <si>
    <t xml:space="preserve">Pressure score: this experience made me feel pressured to perform. (lower is better)</t>
  </si>
  <si>
    <t xml:space="preserve">Open text</t>
  </si>
  <si>
    <t xml:space="preserve">What was the most meaningful moment?</t>
  </si>
  <si>
    <t xml:space="preserve">Paragraph</t>
  </si>
  <si>
    <t xml:space="preserve">What was the most confusing or frustrating moment?</t>
  </si>
  <si>
    <t xml:space="preserve">What would you change first?</t>
  </si>
  <si>
    <t xml:space="preserve">Would you use Becoming for two weeks straight, including a hard week? Why or why not?</t>
  </si>
  <si>
    <t xml:space="preserve">Becoming — Post-Test Survey · Responses (n = 10)</t>
  </si>
  <si>
    <t xml:space="preserve">Timestamp</t>
  </si>
  <si>
    <t xml:space="preserve">Tester ID</t>
  </si>
  <si>
    <t xml:space="preserve">Role / what do you do</t>
  </si>
  <si>
    <t xml:space="preserve">Prior app?</t>
  </si>
  <si>
    <t xml:space="preserve">Q6 Prompt felt real (1-7)</t>
  </si>
  <si>
    <t xml:space="preserve">Q7 Breath welcome (1-7)</t>
  </si>
  <si>
    <t xml:space="preserve">Q8 Both labels valid (1-7)</t>
  </si>
  <si>
    <t xml:space="preserve">Q9 Sky motivated, not pressured (1-7)</t>
  </si>
  <si>
    <t xml:space="preserve">Q10 Companion tone right (1-7)</t>
  </si>
  <si>
    <t xml:space="preserve">Q11 Trusted Companion (1-7)</t>
  </si>
  <si>
    <t xml:space="preserve">Q12 Companion remembered me (1-7)</t>
  </si>
  <si>
    <t xml:space="preserve">Q13 Presence before advice (1-7)</t>
  </si>
  <si>
    <t xml:space="preserve">Q14 Safe to be honest (1-7)</t>
  </si>
  <si>
    <t xml:space="preserve">Q15 Open on hard day (1-7)</t>
  </si>
  <si>
    <t xml:space="preserve">Q16 Open on normal day (1-7)</t>
  </si>
  <si>
    <t xml:space="preserve">Q17 Easy to use (1-7)</t>
  </si>
  <si>
    <t xml:space="preserve">Q18 Felt intuitive (1-7)</t>
  </si>
  <si>
    <t xml:space="preserve">Q19 Counter comforting (1-7)</t>
  </si>
  <si>
    <t xml:space="preserve">Q20 Would recommend (1-7)</t>
  </si>
  <si>
    <t xml:space="preserve">Q21 Pressure (1-7, lower better)</t>
  </si>
  <si>
    <t xml:space="preserve">Q22 Most meaningful</t>
  </si>
  <si>
    <t xml:space="preserve">Q23 Most confusing</t>
  </si>
  <si>
    <t xml:space="preserve">Q24 Would change first</t>
  </si>
  <si>
    <t xml:space="preserve">Q25 Two-week intent</t>
  </si>
  <si>
    <t xml:space="preserve">2026-04-29 10:14</t>
  </si>
  <si>
    <t xml:space="preserve">P1</t>
  </si>
  <si>
    <t xml:space="preserve">18–24</t>
  </si>
  <si>
    <t xml:space="preserve">F</t>
  </si>
  <si>
    <t xml:space="preserve">UX Student</t>
  </si>
  <si>
    <t xml:space="preserve">Tried, stopped</t>
  </si>
  <si>
    <t xml:space="preserve">When the Companion offered to save 'soup and a sister' to Evening Reflection. The handoff felt like the rest of the app should be made of.</t>
  </si>
  <si>
    <t xml:space="preserve">Evening Reflection on its own. Empty field, no scaffold. Without the Companion handing me there I'd have skipped it.</t>
  </si>
  <si>
    <t xml:space="preserve">Add an entry sentence to Evening Reflection. One line is enough.</t>
  </si>
  <si>
    <t xml:space="preserve">Yes, including a hard week. The copy is trustworthy and the moments are paced right.</t>
  </si>
  <si>
    <t xml:space="preserve">2026-04-29 11:02</t>
  </si>
  <si>
    <t xml:space="preserve">P2</t>
  </si>
  <si>
    <t xml:space="preserve">When I corrected it ('don't reflect me') and it just adjusted without apologising five times. Clean repair.</t>
  </si>
  <si>
    <t xml:space="preserve">First-turn 'It sounds like you're feeling…' That's a script. I can hear it.</t>
  </si>
  <si>
    <t xml:space="preserve">Strip therapy-mimicry phrasing entirely. It breaks trust faster than anything else.</t>
  </si>
  <si>
    <t xml:space="preserve">Maybe. If the script issue is fixed and the labels are renamed.</t>
  </si>
  <si>
    <t xml:space="preserve">2026-04-29 14:30</t>
  </si>
  <si>
    <t xml:space="preserve">P3</t>
  </si>
  <si>
    <t xml:space="preserve">M</t>
  </si>
  <si>
    <t xml:space="preserve">Service Design Student</t>
  </si>
  <si>
    <t xml:space="preserve">Coming back after a 3-day gap and getting 'Welcome back. Today is here.' Not 'you broke your streak.' That difference is everything.</t>
  </si>
  <si>
    <t xml:space="preserve">The Companion → Evening Reflection handoff is missing in 3 of the 4 places I'd expect it. The screens don't talk to each other.</t>
  </si>
  <si>
    <t xml:space="preserve">Make the seams between Companion, Sky, and Evening Reflection talk. Right now each lives alone.</t>
  </si>
  <si>
    <t xml:space="preserve">Yes. The recovery flow is the part most habit apps get wrong, and this one gets it right.</t>
  </si>
  <si>
    <t xml:space="preserve">2026-04-29 16:15</t>
  </si>
  <si>
    <t xml:space="preserve">P4</t>
  </si>
  <si>
    <t xml:space="preserve">25–29</t>
  </si>
  <si>
    <t xml:space="preserve">Freelance Illustrator</t>
  </si>
  <si>
    <t xml:space="preserve">Never</t>
  </si>
  <si>
    <t xml:space="preserve">It referenced 'self-criticism' from onboarding without making a thing of it. Quiet memory, not look-at-me memory.</t>
  </si>
  <si>
    <t xml:space="preserve">Nothing confusing. One small note: the breath ring is a hair fast at the top.</t>
  </si>
  <si>
    <t xml:space="preserve">Slow the breath top by ~200ms. Tiny change, big feel.</t>
  </si>
  <si>
    <t xml:space="preserve">Yes, daily. This is the first one I'd actually keep.</t>
  </si>
  <si>
    <t xml:space="preserve">2026-04-29 17:40</t>
  </si>
  <si>
    <t xml:space="preserve">P5</t>
  </si>
  <si>
    <t xml:space="preserve">Translator</t>
  </si>
  <si>
    <t xml:space="preserve">'I'm waiting to see what you want — talk it through, or land here?' Doesn't fill silence with fluency. Don't replace it.</t>
  </si>
  <si>
    <t xml:space="preserve">'Done Anyway' / 'Not Today' carry moral concession. The labels are doing too much work.</t>
  </si>
  <si>
    <t xml:space="preserve">Rename the labels. 'I showed up' / 'today is heavy.' Cheaper words, truer.</t>
  </si>
  <si>
    <t xml:space="preserve">Yes — once the labels are fixed. The chat already passes my tests; the buttons don't.</t>
  </si>
  <si>
    <t xml:space="preserve">2026-04-29 19:20</t>
  </si>
  <si>
    <t xml:space="preserve">P6</t>
  </si>
  <si>
    <t xml:space="preserve">Graphic Design Student</t>
  </si>
  <si>
    <t xml:space="preserve">Short Companion replies. Right register for a small moment.</t>
  </si>
  <si>
    <t xml:space="preserve">Filled vs. ghost button — that's a hierarchy choice that biases the user.</t>
  </si>
  <si>
    <t xml:space="preserve">Equalise the response buttons; +10% contrast on dim stars; tighten prompt-card padding.</t>
  </si>
  <si>
    <t xml:space="preserve">Yes. The visual restraint matches the emotional restraint, which is rare.</t>
  </si>
  <si>
    <t xml:space="preserve">2026-04-30 09:05</t>
  </si>
  <si>
    <t xml:space="preserve">P7</t>
  </si>
  <si>
    <t xml:space="preserve">30–34</t>
  </si>
  <si>
    <t xml:space="preserve">Project Manager</t>
  </si>
  <si>
    <t xml:space="preserve">'I have 90 seconds.' / 'Got it. I'll keep it short.' The Companion respected my time without comment.</t>
  </si>
  <si>
    <t xml:space="preserve">'Not Today' calls me out. I'm not letting myself down — I just don't have bandwidth.</t>
  </si>
  <si>
    <t xml:space="preserve">Rename Not Today. And hide the You're-Not-Alone counter when I pick the heavy option.</t>
  </si>
  <si>
    <t xml:space="preserve">On a normal week, yes. On a 12-meeting day, only if it stays under 90 seconds.</t>
  </si>
  <si>
    <t xml:space="preserve">2026-04-30 11:45</t>
  </si>
  <si>
    <t xml:space="preserve">P8</t>
  </si>
  <si>
    <t xml:space="preserve">Interactive Design Student</t>
  </si>
  <si>
    <t xml:space="preserve">'A lot of people open me at 2am asking the same thing.' The counter as a sentence is a hug; as a number it's a stat.</t>
  </si>
  <si>
    <t xml:space="preserve">In/out breath haptics are identical. They blur — and the breath is the moment that should feel different.</t>
  </si>
  <si>
    <t xml:space="preserve">Differentiate the breath haptics. Then test swipe-up as the response gesture.</t>
  </si>
  <si>
    <t xml:space="preserve">Yes. 2am availability is the whole reason I'd keep it.</t>
  </si>
  <si>
    <t xml:space="preserve">2026-04-30 14:30</t>
  </si>
  <si>
    <t xml:space="preserve">P9</t>
  </si>
  <si>
    <t xml:space="preserve">NB</t>
  </si>
  <si>
    <t xml:space="preserve">UX Design Student</t>
  </si>
  <si>
    <t xml:space="preserve">The crisis-response sequence: hear → AI disclosure → safety check → resources → return to presence. Right order. Don't change it.</t>
  </si>
  <si>
    <t xml:space="preserve">'Done Anyway' baits the streak. I picked it for the wrong reason.</t>
  </si>
  <si>
    <t xml:space="preserve">Lock the safety order in the doc. Add a clinical reviewer for Round 2 to validate the guardrail.</t>
  </si>
  <si>
    <t xml:space="preserve">Yes. The safety floor is intact, which is the floor everything else sits on.</t>
  </si>
  <si>
    <t xml:space="preserve">2026-04-30 16:50</t>
  </si>
  <si>
    <t xml:space="preserve">P10</t>
  </si>
  <si>
    <t xml:space="preserve">Animator</t>
  </si>
  <si>
    <t xml:space="preserve">'A week of nights. I noticed.' I almost cried. Nobody notices my cadence.</t>
  </si>
  <si>
    <t xml:space="preserve">I see the gaps before the stars. Empty days read as absence, not as quiet.</t>
  </si>
  <si>
    <t xml:space="preserve">Dim missed days at low intensity. Visual language should never read as absence. Also ease the breath out-curve.</t>
  </si>
  <si>
    <t xml:space="preserve">Yes. The Companion's pacing alone earns two weeks.</t>
  </si>
  <si>
    <t xml:space="preserve">Becoming — Post-Test Survey · Summary</t>
  </si>
  <si>
    <t xml:space="preserve">Mean</t>
  </si>
  <si>
    <t xml:space="preserve">Min</t>
  </si>
  <si>
    <t xml:space="preserve">Max</t>
  </si>
  <si>
    <t xml:space="preserve">% scoring 6 or 7</t>
  </si>
  <si>
    <t xml:space="preserve">% scoring 1–3</t>
  </si>
  <si>
    <t xml:space="preserve">Q6  Prompt felt real</t>
  </si>
  <si>
    <t xml:space="preserve">Q7  Breath welcome</t>
  </si>
  <si>
    <t xml:space="preserve">Q8  Both labels valid</t>
  </si>
  <si>
    <t xml:space="preserve">Q9  Sky motivated, not pressured</t>
  </si>
  <si>
    <t xml:space="preserve">Q10 Companion tone right</t>
  </si>
  <si>
    <t xml:space="preserve">Q11 Trusted Companion</t>
  </si>
  <si>
    <t xml:space="preserve">Q12 Companion remembered me</t>
  </si>
  <si>
    <t xml:space="preserve">Q13 Presence before advice</t>
  </si>
  <si>
    <t xml:space="preserve">Q14 Safe to be honest</t>
  </si>
  <si>
    <t xml:space="preserve">Q15 Open on hard day</t>
  </si>
  <si>
    <t xml:space="preserve">Q16 Open on normal day</t>
  </si>
  <si>
    <t xml:space="preserve">Q17 Easy to use</t>
  </si>
  <si>
    <t xml:space="preserve">Q18 Felt intuitive</t>
  </si>
  <si>
    <t xml:space="preserve">Q19 Counter comforting</t>
  </si>
  <si>
    <t xml:space="preserve">Q20 Would recommend</t>
  </si>
  <si>
    <t xml:space="preserve">Q21 Pressure (lower=better)</t>
  </si>
  <si>
    <t xml:space="preserve">Open-text themes (manual coding pass)</t>
  </si>
  <si>
    <t xml:space="preserve">Most meaningful</t>
  </si>
  <si>
    <t xml:space="preserve">Companion → Evening Reflection handoff (P1, P3); onboarding-context recall (P4); cadence noticed (P10); 'witness, not fix' / 'a lot of people open me at 2am' patterns (P3, P8).</t>
  </si>
  <si>
    <t xml:space="preserve">Most confusing</t>
  </si>
  <si>
    <t xml:space="preserve">Done Anyway / Not Today labels read as moral judgment (P2, P5, P7, P9); Evening Reflection has no scaffold (P1); Companion mimics therapy-script (P2); breath haptic / motion details (P4, P8, P10).</t>
  </si>
  <si>
    <t xml:space="preserve">First fix</t>
  </si>
  <si>
    <t xml:space="preserve">Rename labels to 'I showed up' / 'Today is heavy' (P5, P7); equalise response button weight (P6); strip therapy-mimicry (P2); Companion ↔ Reflection edges (P3); motion polish (P4, P10).</t>
  </si>
  <si>
    <t xml:space="preserve">Two-week intent</t>
  </si>
  <si>
    <t xml:space="preserve">8 of 10 → Yes. 2 conditional on label rename. Strongest signal: hard-week willingness.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</si>
</sst>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1233"/>
      <name val="Arial"/>
      <family val="0"/>
      <charset val="1"/>
    </font>
    <font>
      <i val="true"/>
      <sz val="10"/>
      <color rgb="FF4750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3B2F70"/>
      <name val="Arial"/>
      <family val="0"/>
      <charset val="1"/>
    </font>
    <font>
      <b val="true"/>
      <sz val="11"/>
      <color rgb="FF1B1233"/>
      <name val="Arial"/>
      <family val="0"/>
      <charset val="1"/>
    </font>
    <font>
      <sz val="11"/>
      <color rgb="FF1B12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1F5C"/>
        <bgColor rgb="FF3B2F70"/>
      </patternFill>
    </fill>
    <fill>
      <patternFill patternType="solid">
        <fgColor rgb="FFEAE2F8"/>
        <bgColor rgb="FFF2EEFB"/>
      </patternFill>
    </fill>
    <fill>
      <patternFill patternType="solid">
        <fgColor rgb="FFF2EEFB"/>
        <bgColor rgb="FFEAE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BAE0"/>
      </left>
      <right style="thin">
        <color rgb="FFC5BAE0"/>
      </right>
      <top style="thin">
        <color rgb="FFC5BAE0"/>
      </top>
      <bottom style="thin">
        <color rgb="FFC5B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B1233"/>
      <rgbColor rgb="FF808000"/>
      <rgbColor rgb="FF800080"/>
      <rgbColor rgb="FF008080"/>
      <rgbColor rgb="FFC5BAE0"/>
      <rgbColor rgb="FF808080"/>
      <rgbColor rgb="FF9999FF"/>
      <rgbColor rgb="FF993366"/>
      <rgbColor rgb="FFF2EEFB"/>
      <rgbColor rgb="FFCCFFFF"/>
      <rgbColor rgb="FF660066"/>
      <rgbColor rgb="FFFF8080"/>
      <rgbColor rgb="FF0066CC"/>
      <rgbColor rgb="FFEAE2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064"/>
      <rgbColor rgb="FF969696"/>
      <rgbColor rgb="FF003366"/>
      <rgbColor rgb="FF339966"/>
      <rgbColor rgb="FF003300"/>
      <rgbColor rgb="FF333300"/>
      <rgbColor rgb="FF993300"/>
      <rgbColor rgb="FF993366"/>
      <rgbColor rgb="FF3B2F70"/>
      <rgbColor rgb="FF2A1F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 t="s">
        <v>2</v>
      </c>
      <c r="B3" s="2"/>
      <c r="C3" s="2"/>
      <c r="D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4"/>
      <c r="B6" s="5" t="s">
        <v>7</v>
      </c>
      <c r="C6" s="5"/>
      <c r="D6" s="5"/>
    </row>
    <row r="7" customFormat="false" ht="15" hidden="false" customHeight="false" outlineLevel="0" collapsed="false">
      <c r="A7" s="6" t="n">
        <v>1</v>
      </c>
      <c r="B7" s="7" t="s">
        <v>7</v>
      </c>
      <c r="C7" s="7" t="s">
        <v>8</v>
      </c>
      <c r="D7" s="7" t="s">
        <v>9</v>
      </c>
    </row>
    <row r="8" customFormat="false" ht="26.85" hidden="false" customHeight="false" outlineLevel="0" collapsed="false">
      <c r="A8" s="8" t="n">
        <v>2</v>
      </c>
      <c r="B8" s="9" t="s">
        <v>7</v>
      </c>
      <c r="C8" s="9" t="s">
        <v>10</v>
      </c>
      <c r="D8" s="9" t="s">
        <v>11</v>
      </c>
    </row>
    <row r="9" customFormat="false" ht="26.85" hidden="false" customHeight="false" outlineLevel="0" collapsed="false">
      <c r="A9" s="6" t="n">
        <v>3</v>
      </c>
      <c r="B9" s="7" t="s">
        <v>7</v>
      </c>
      <c r="C9" s="7" t="s">
        <v>12</v>
      </c>
      <c r="D9" s="7" t="s">
        <v>13</v>
      </c>
    </row>
    <row r="10" customFormat="false" ht="15" hidden="false" customHeight="false" outlineLevel="0" collapsed="false">
      <c r="A10" s="8" t="n">
        <v>4</v>
      </c>
      <c r="B10" s="9" t="s">
        <v>7</v>
      </c>
      <c r="C10" s="9" t="s">
        <v>14</v>
      </c>
      <c r="D10" s="9" t="s">
        <v>9</v>
      </c>
    </row>
    <row r="11" customFormat="false" ht="39.55" hidden="false" customHeight="false" outlineLevel="0" collapsed="false">
      <c r="A11" s="6" t="n">
        <v>5</v>
      </c>
      <c r="B11" s="7" t="s">
        <v>7</v>
      </c>
      <c r="C11" s="7" t="s">
        <v>15</v>
      </c>
      <c r="D11" s="7" t="s">
        <v>16</v>
      </c>
    </row>
    <row r="12" customFormat="false" ht="15" hidden="false" customHeight="false" outlineLevel="0" collapsed="false">
      <c r="A12" s="4"/>
      <c r="B12" s="5" t="s">
        <v>17</v>
      </c>
      <c r="C12" s="5"/>
      <c r="D12" s="5"/>
    </row>
    <row r="13" customFormat="false" ht="15" hidden="false" customHeight="false" outlineLevel="0" collapsed="false">
      <c r="A13" s="8" t="n">
        <v>6</v>
      </c>
      <c r="B13" s="9" t="s">
        <v>17</v>
      </c>
      <c r="C13" s="9" t="s">
        <v>18</v>
      </c>
      <c r="D13" s="9" t="s">
        <v>19</v>
      </c>
    </row>
    <row r="14" customFormat="false" ht="15" hidden="false" customHeight="false" outlineLevel="0" collapsed="false">
      <c r="A14" s="6" t="n">
        <v>7</v>
      </c>
      <c r="B14" s="7" t="s">
        <v>17</v>
      </c>
      <c r="C14" s="7" t="s">
        <v>20</v>
      </c>
      <c r="D14" s="7" t="s">
        <v>19</v>
      </c>
    </row>
    <row r="15" customFormat="false" ht="15" hidden="false" customHeight="false" outlineLevel="0" collapsed="false">
      <c r="A15" s="8" t="n">
        <v>8</v>
      </c>
      <c r="B15" s="9" t="s">
        <v>17</v>
      </c>
      <c r="C15" s="9" t="s">
        <v>21</v>
      </c>
      <c r="D15" s="9" t="s">
        <v>19</v>
      </c>
    </row>
    <row r="16" customFormat="false" ht="15" hidden="false" customHeight="false" outlineLevel="0" collapsed="false">
      <c r="A16" s="6" t="n">
        <v>9</v>
      </c>
      <c r="B16" s="7" t="s">
        <v>17</v>
      </c>
      <c r="C16" s="7" t="s">
        <v>22</v>
      </c>
      <c r="D16" s="7" t="s">
        <v>19</v>
      </c>
    </row>
    <row r="17" customFormat="false" ht="15" hidden="false" customHeight="false" outlineLevel="0" collapsed="false">
      <c r="A17" s="4"/>
      <c r="B17" s="5" t="s">
        <v>23</v>
      </c>
      <c r="C17" s="5"/>
      <c r="D17" s="5"/>
    </row>
    <row r="18" customFormat="false" ht="15" hidden="false" customHeight="false" outlineLevel="0" collapsed="false">
      <c r="A18" s="8" t="n">
        <v>10</v>
      </c>
      <c r="B18" s="9" t="s">
        <v>23</v>
      </c>
      <c r="C18" s="9" t="s">
        <v>24</v>
      </c>
      <c r="D18" s="9" t="s">
        <v>19</v>
      </c>
    </row>
    <row r="19" customFormat="false" ht="15" hidden="false" customHeight="false" outlineLevel="0" collapsed="false">
      <c r="A19" s="6" t="n">
        <v>11</v>
      </c>
      <c r="B19" s="7" t="s">
        <v>23</v>
      </c>
      <c r="C19" s="7" t="s">
        <v>25</v>
      </c>
      <c r="D19" s="7" t="s">
        <v>19</v>
      </c>
    </row>
    <row r="20" customFormat="false" ht="15" hidden="false" customHeight="false" outlineLevel="0" collapsed="false">
      <c r="A20" s="8" t="n">
        <v>12</v>
      </c>
      <c r="B20" s="9" t="s">
        <v>23</v>
      </c>
      <c r="C20" s="9" t="s">
        <v>26</v>
      </c>
      <c r="D20" s="9" t="s">
        <v>19</v>
      </c>
    </row>
    <row r="21" customFormat="false" ht="15" hidden="false" customHeight="false" outlineLevel="0" collapsed="false">
      <c r="A21" s="6" t="n">
        <v>13</v>
      </c>
      <c r="B21" s="7" t="s">
        <v>23</v>
      </c>
      <c r="C21" s="7" t="s">
        <v>27</v>
      </c>
      <c r="D21" s="7" t="s">
        <v>19</v>
      </c>
    </row>
    <row r="22" customFormat="false" ht="15" hidden="false" customHeight="false" outlineLevel="0" collapsed="false">
      <c r="A22" s="8" t="n">
        <v>14</v>
      </c>
      <c r="B22" s="9" t="s">
        <v>23</v>
      </c>
      <c r="C22" s="9" t="s">
        <v>28</v>
      </c>
      <c r="D22" s="9" t="s">
        <v>19</v>
      </c>
    </row>
    <row r="23" customFormat="false" ht="15" hidden="false" customHeight="false" outlineLevel="0" collapsed="false">
      <c r="A23" s="4"/>
      <c r="B23" s="5" t="s">
        <v>29</v>
      </c>
      <c r="C23" s="5"/>
      <c r="D23" s="5"/>
    </row>
    <row r="24" customFormat="false" ht="15" hidden="false" customHeight="false" outlineLevel="0" collapsed="false">
      <c r="A24" s="6" t="n">
        <v>15</v>
      </c>
      <c r="B24" s="7" t="s">
        <v>29</v>
      </c>
      <c r="C24" s="7" t="s">
        <v>30</v>
      </c>
      <c r="D24" s="7" t="s">
        <v>19</v>
      </c>
    </row>
    <row r="25" customFormat="false" ht="15" hidden="false" customHeight="false" outlineLevel="0" collapsed="false">
      <c r="A25" s="8" t="n">
        <v>16</v>
      </c>
      <c r="B25" s="9" t="s">
        <v>29</v>
      </c>
      <c r="C25" s="9" t="s">
        <v>31</v>
      </c>
      <c r="D25" s="9" t="s">
        <v>19</v>
      </c>
    </row>
    <row r="26" customFormat="false" ht="15" hidden="false" customHeight="false" outlineLevel="0" collapsed="false">
      <c r="A26" s="6" t="n">
        <v>17</v>
      </c>
      <c r="B26" s="7" t="s">
        <v>29</v>
      </c>
      <c r="C26" s="7" t="s">
        <v>32</v>
      </c>
      <c r="D26" s="7" t="s">
        <v>19</v>
      </c>
    </row>
    <row r="27" customFormat="false" ht="15" hidden="false" customHeight="false" outlineLevel="0" collapsed="false">
      <c r="A27" s="8" t="n">
        <v>18</v>
      </c>
      <c r="B27" s="9" t="s">
        <v>29</v>
      </c>
      <c r="C27" s="9" t="s">
        <v>33</v>
      </c>
      <c r="D27" s="9" t="s">
        <v>19</v>
      </c>
    </row>
    <row r="28" customFormat="false" ht="15" hidden="false" customHeight="false" outlineLevel="0" collapsed="false">
      <c r="A28" s="6" t="n">
        <v>19</v>
      </c>
      <c r="B28" s="7" t="s">
        <v>29</v>
      </c>
      <c r="C28" s="7" t="s">
        <v>34</v>
      </c>
      <c r="D28" s="7" t="s">
        <v>19</v>
      </c>
    </row>
    <row r="29" customFormat="false" ht="15" hidden="false" customHeight="false" outlineLevel="0" collapsed="false">
      <c r="A29" s="8" t="n">
        <v>20</v>
      </c>
      <c r="B29" s="9" t="s">
        <v>29</v>
      </c>
      <c r="C29" s="9" t="s">
        <v>35</v>
      </c>
      <c r="D29" s="9" t="s">
        <v>19</v>
      </c>
    </row>
    <row r="30" customFormat="false" ht="26.85" hidden="false" customHeight="false" outlineLevel="0" collapsed="false">
      <c r="A30" s="6" t="n">
        <v>21</v>
      </c>
      <c r="B30" s="7" t="s">
        <v>29</v>
      </c>
      <c r="C30" s="7" t="s">
        <v>36</v>
      </c>
      <c r="D30" s="7" t="s">
        <v>19</v>
      </c>
    </row>
    <row r="31" customFormat="false" ht="15" hidden="false" customHeight="false" outlineLevel="0" collapsed="false">
      <c r="A31" s="4"/>
      <c r="B31" s="5" t="s">
        <v>37</v>
      </c>
      <c r="C31" s="5"/>
      <c r="D31" s="5"/>
    </row>
    <row r="32" customFormat="false" ht="15" hidden="false" customHeight="false" outlineLevel="0" collapsed="false">
      <c r="A32" s="8" t="n">
        <v>22</v>
      </c>
      <c r="B32" s="9" t="s">
        <v>37</v>
      </c>
      <c r="C32" s="9" t="s">
        <v>38</v>
      </c>
      <c r="D32" s="9" t="s">
        <v>39</v>
      </c>
    </row>
    <row r="33" customFormat="false" ht="15" hidden="false" customHeight="false" outlineLevel="0" collapsed="false">
      <c r="A33" s="6" t="n">
        <v>23</v>
      </c>
      <c r="B33" s="7" t="s">
        <v>37</v>
      </c>
      <c r="C33" s="7" t="s">
        <v>40</v>
      </c>
      <c r="D33" s="7" t="s">
        <v>39</v>
      </c>
    </row>
    <row r="34" customFormat="false" ht="15" hidden="false" customHeight="false" outlineLevel="0" collapsed="false">
      <c r="A34" s="8" t="n">
        <v>24</v>
      </c>
      <c r="B34" s="9" t="s">
        <v>37</v>
      </c>
      <c r="C34" s="9" t="s">
        <v>41</v>
      </c>
      <c r="D34" s="9" t="s">
        <v>39</v>
      </c>
    </row>
    <row r="35" customFormat="false" ht="26.85" hidden="false" customHeight="false" outlineLevel="0" collapsed="false">
      <c r="A35" s="6" t="n">
        <v>25</v>
      </c>
      <c r="B35" s="7" t="s">
        <v>37</v>
      </c>
      <c r="C35" s="7" t="s">
        <v>42</v>
      </c>
      <c r="D35" s="7" t="s">
        <v>39</v>
      </c>
    </row>
  </sheetData>
  <mergeCells count="8">
    <mergeCell ref="A1:D1"/>
    <mergeCell ref="A2:D2"/>
    <mergeCell ref="A3:D3"/>
    <mergeCell ref="B6:D6"/>
    <mergeCell ref="B12:D12"/>
    <mergeCell ref="B17:D17"/>
    <mergeCell ref="B23:D23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21" min="7" style="0" width="13"/>
    <col collapsed="false" customWidth="true" hidden="false" outlineLevel="0" max="26" min="23" style="0" width="36"/>
  </cols>
  <sheetData>
    <row r="1" customFormat="false" ht="25.5" hidden="false" customHeight="true" outlineLevel="0" collapsed="false">
      <c r="A1" s="10" t="s">
        <v>43</v>
      </c>
    </row>
    <row r="3" customFormat="false" ht="64.9" hidden="false" customHeight="false" outlineLevel="0" collapsed="false">
      <c r="A3" s="3" t="s">
        <v>44</v>
      </c>
      <c r="B3" s="3" t="s">
        <v>45</v>
      </c>
      <c r="C3" s="3" t="s">
        <v>10</v>
      </c>
      <c r="D3" s="3" t="s">
        <v>12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3" t="s">
        <v>57</v>
      </c>
      <c r="Q3" s="3" t="s">
        <v>58</v>
      </c>
      <c r="R3" s="3" t="s">
        <v>59</v>
      </c>
      <c r="S3" s="3" t="s">
        <v>60</v>
      </c>
      <c r="T3" s="3" t="s">
        <v>61</v>
      </c>
      <c r="U3" s="3" t="s">
        <v>62</v>
      </c>
      <c r="V3" s="3" t="s">
        <v>63</v>
      </c>
      <c r="W3" s="3" t="s">
        <v>64</v>
      </c>
      <c r="X3" s="3" t="s">
        <v>65</v>
      </c>
      <c r="Y3" s="3" t="s">
        <v>66</v>
      </c>
      <c r="Z3" s="3" t="s">
        <v>67</v>
      </c>
    </row>
    <row r="4" customFormat="false" ht="52.2" hidden="false" customHeight="false" outlineLevel="0" collapsed="false">
      <c r="A4" s="7" t="s">
        <v>68</v>
      </c>
      <c r="B4" s="7" t="s">
        <v>69</v>
      </c>
      <c r="C4" s="7" t="s">
        <v>70</v>
      </c>
      <c r="D4" s="7" t="s">
        <v>71</v>
      </c>
      <c r="E4" s="7" t="s">
        <v>72</v>
      </c>
      <c r="F4" s="7" t="s">
        <v>73</v>
      </c>
      <c r="G4" s="11" t="n">
        <v>7</v>
      </c>
      <c r="H4" s="11" t="n">
        <v>7</v>
      </c>
      <c r="I4" s="11" t="n">
        <v>4</v>
      </c>
      <c r="J4" s="11" t="n">
        <v>6</v>
      </c>
      <c r="K4" s="11" t="n">
        <v>7</v>
      </c>
      <c r="L4" s="11" t="n">
        <v>7</v>
      </c>
      <c r="M4" s="11" t="n">
        <v>7</v>
      </c>
      <c r="N4" s="11" t="n">
        <v>7</v>
      </c>
      <c r="O4" s="11" t="n">
        <v>6</v>
      </c>
      <c r="P4" s="11" t="n">
        <v>7</v>
      </c>
      <c r="Q4" s="11" t="n">
        <v>5</v>
      </c>
      <c r="R4" s="11" t="n">
        <v>6</v>
      </c>
      <c r="S4" s="11" t="n">
        <v>5</v>
      </c>
      <c r="T4" s="11" t="n">
        <v>5</v>
      </c>
      <c r="U4" s="11" t="n">
        <v>7</v>
      </c>
      <c r="V4" s="11" t="n">
        <v>2</v>
      </c>
      <c r="W4" s="7" t="s">
        <v>74</v>
      </c>
      <c r="X4" s="7" t="s">
        <v>75</v>
      </c>
      <c r="Y4" s="7" t="s">
        <v>76</v>
      </c>
      <c r="Z4" s="7" t="s">
        <v>77</v>
      </c>
    </row>
    <row r="5" customFormat="false" ht="39.55" hidden="false" customHeight="false" outlineLevel="0" collapsed="false">
      <c r="A5" s="9" t="s">
        <v>78</v>
      </c>
      <c r="B5" s="9" t="s">
        <v>79</v>
      </c>
      <c r="C5" s="9" t="s">
        <v>70</v>
      </c>
      <c r="D5" s="9" t="s">
        <v>71</v>
      </c>
      <c r="E5" s="9" t="s">
        <v>72</v>
      </c>
      <c r="F5" s="9" t="s">
        <v>73</v>
      </c>
      <c r="G5" s="12" t="n">
        <v>6</v>
      </c>
      <c r="H5" s="12" t="n">
        <v>6</v>
      </c>
      <c r="I5" s="12" t="n">
        <v>3</v>
      </c>
      <c r="J5" s="12" t="n">
        <v>6</v>
      </c>
      <c r="K5" s="12" t="n">
        <v>4</v>
      </c>
      <c r="L5" s="12" t="n">
        <v>5</v>
      </c>
      <c r="M5" s="12" t="n">
        <v>6</v>
      </c>
      <c r="N5" s="12" t="n">
        <v>5</v>
      </c>
      <c r="O5" s="12" t="n">
        <v>5</v>
      </c>
      <c r="P5" s="12" t="n">
        <v>6</v>
      </c>
      <c r="Q5" s="12" t="n">
        <v>4</v>
      </c>
      <c r="R5" s="12" t="n">
        <v>4</v>
      </c>
      <c r="S5" s="12" t="n">
        <v>4</v>
      </c>
      <c r="T5" s="12" t="n">
        <v>5</v>
      </c>
      <c r="U5" s="12" t="n">
        <v>5</v>
      </c>
      <c r="V5" s="12" t="n">
        <v>4</v>
      </c>
      <c r="W5" s="9" t="s">
        <v>80</v>
      </c>
      <c r="X5" s="9" t="s">
        <v>81</v>
      </c>
      <c r="Y5" s="9" t="s">
        <v>82</v>
      </c>
      <c r="Z5" s="9" t="s">
        <v>83</v>
      </c>
    </row>
    <row r="6" customFormat="false" ht="52.2" hidden="false" customHeight="false" outlineLevel="0" collapsed="false">
      <c r="A6" s="7" t="s">
        <v>84</v>
      </c>
      <c r="B6" s="7" t="s">
        <v>85</v>
      </c>
      <c r="C6" s="7" t="s">
        <v>70</v>
      </c>
      <c r="D6" s="7" t="s">
        <v>86</v>
      </c>
      <c r="E6" s="7" t="s">
        <v>87</v>
      </c>
      <c r="F6" s="7" t="s">
        <v>73</v>
      </c>
      <c r="G6" s="11" t="n">
        <v>7</v>
      </c>
      <c r="H6" s="11" t="n">
        <v>6</v>
      </c>
      <c r="I6" s="11" t="n">
        <v>4</v>
      </c>
      <c r="J6" s="11" t="n">
        <v>7</v>
      </c>
      <c r="K6" s="11" t="n">
        <v>6</v>
      </c>
      <c r="L6" s="11" t="n">
        <v>6</v>
      </c>
      <c r="M6" s="11" t="n">
        <v>5</v>
      </c>
      <c r="N6" s="11" t="n">
        <v>6</v>
      </c>
      <c r="O6" s="11" t="n">
        <v>6</v>
      </c>
      <c r="P6" s="11" t="n">
        <v>6</v>
      </c>
      <c r="Q6" s="11" t="n">
        <v>5</v>
      </c>
      <c r="R6" s="11" t="n">
        <v>6</v>
      </c>
      <c r="S6" s="11" t="n">
        <v>5</v>
      </c>
      <c r="T6" s="11" t="n">
        <v>5</v>
      </c>
      <c r="U6" s="11" t="n">
        <v>6</v>
      </c>
      <c r="V6" s="11" t="n">
        <v>2</v>
      </c>
      <c r="W6" s="7" t="s">
        <v>88</v>
      </c>
      <c r="X6" s="7" t="s">
        <v>89</v>
      </c>
      <c r="Y6" s="7" t="s">
        <v>90</v>
      </c>
      <c r="Z6" s="7" t="s">
        <v>91</v>
      </c>
    </row>
    <row r="7" customFormat="false" ht="52.2" hidden="false" customHeight="false" outlineLevel="0" collapsed="false">
      <c r="A7" s="9" t="s">
        <v>92</v>
      </c>
      <c r="B7" s="9" t="s">
        <v>93</v>
      </c>
      <c r="C7" s="9" t="s">
        <v>94</v>
      </c>
      <c r="D7" s="9" t="s">
        <v>71</v>
      </c>
      <c r="E7" s="9" t="s">
        <v>95</v>
      </c>
      <c r="F7" s="9" t="s">
        <v>96</v>
      </c>
      <c r="G7" s="12" t="n">
        <v>7</v>
      </c>
      <c r="H7" s="12" t="n">
        <v>6</v>
      </c>
      <c r="I7" s="12" t="n">
        <v>5</v>
      </c>
      <c r="J7" s="12" t="n">
        <v>7</v>
      </c>
      <c r="K7" s="12" t="n">
        <v>7</v>
      </c>
      <c r="L7" s="12" t="n">
        <v>7</v>
      </c>
      <c r="M7" s="12" t="n">
        <v>7</v>
      </c>
      <c r="N7" s="12" t="n">
        <v>7</v>
      </c>
      <c r="O7" s="12" t="n">
        <v>7</v>
      </c>
      <c r="P7" s="12" t="n">
        <v>7</v>
      </c>
      <c r="Q7" s="12" t="n">
        <v>6</v>
      </c>
      <c r="R7" s="12" t="n">
        <v>6</v>
      </c>
      <c r="S7" s="12" t="n">
        <v>6</v>
      </c>
      <c r="T7" s="12" t="n">
        <v>6</v>
      </c>
      <c r="U7" s="12" t="n">
        <v>7</v>
      </c>
      <c r="V7" s="12" t="n">
        <v>1</v>
      </c>
      <c r="W7" s="9" t="s">
        <v>97</v>
      </c>
      <c r="X7" s="9" t="s">
        <v>98</v>
      </c>
      <c r="Y7" s="9" t="s">
        <v>99</v>
      </c>
      <c r="Z7" s="9" t="s">
        <v>100</v>
      </c>
    </row>
    <row r="8" customFormat="false" ht="52.2" hidden="false" customHeight="false" outlineLevel="0" collapsed="false">
      <c r="A8" s="7" t="s">
        <v>101</v>
      </c>
      <c r="B8" s="7" t="s">
        <v>102</v>
      </c>
      <c r="C8" s="7" t="s">
        <v>94</v>
      </c>
      <c r="D8" s="7" t="s">
        <v>71</v>
      </c>
      <c r="E8" s="7" t="s">
        <v>103</v>
      </c>
      <c r="F8" s="7" t="s">
        <v>96</v>
      </c>
      <c r="G8" s="11" t="n">
        <v>6</v>
      </c>
      <c r="H8" s="11" t="n">
        <v>6</v>
      </c>
      <c r="I8" s="11" t="n">
        <v>2</v>
      </c>
      <c r="J8" s="11" t="n">
        <v>5</v>
      </c>
      <c r="K8" s="11" t="n">
        <v>5</v>
      </c>
      <c r="L8" s="11" t="n">
        <v>5</v>
      </c>
      <c r="M8" s="11" t="n">
        <v>5</v>
      </c>
      <c r="N8" s="11" t="n">
        <v>6</v>
      </c>
      <c r="O8" s="11" t="n">
        <v>5</v>
      </c>
      <c r="P8" s="11" t="n">
        <v>6</v>
      </c>
      <c r="Q8" s="11" t="n">
        <v>4</v>
      </c>
      <c r="R8" s="11" t="n">
        <v>5</v>
      </c>
      <c r="S8" s="11" t="n">
        <v>5</v>
      </c>
      <c r="T8" s="11" t="n">
        <v>4</v>
      </c>
      <c r="U8" s="11" t="n">
        <v>5</v>
      </c>
      <c r="V8" s="11" t="n">
        <v>4</v>
      </c>
      <c r="W8" s="7" t="s">
        <v>104</v>
      </c>
      <c r="X8" s="7" t="s">
        <v>105</v>
      </c>
      <c r="Y8" s="7" t="s">
        <v>106</v>
      </c>
      <c r="Z8" s="7" t="s">
        <v>107</v>
      </c>
    </row>
    <row r="9" customFormat="false" ht="39.55" hidden="false" customHeight="false" outlineLevel="0" collapsed="false">
      <c r="A9" s="9" t="s">
        <v>108</v>
      </c>
      <c r="B9" s="9" t="s">
        <v>109</v>
      </c>
      <c r="C9" s="9" t="s">
        <v>70</v>
      </c>
      <c r="D9" s="9" t="s">
        <v>71</v>
      </c>
      <c r="E9" s="9" t="s">
        <v>110</v>
      </c>
      <c r="F9" s="9" t="s">
        <v>96</v>
      </c>
      <c r="G9" s="12" t="n">
        <v>6</v>
      </c>
      <c r="H9" s="12" t="n">
        <v>6</v>
      </c>
      <c r="I9" s="12" t="n">
        <v>4</v>
      </c>
      <c r="J9" s="12" t="n">
        <v>5</v>
      </c>
      <c r="K9" s="12" t="n">
        <v>7</v>
      </c>
      <c r="L9" s="12" t="n">
        <v>6</v>
      </c>
      <c r="M9" s="12" t="n">
        <v>6</v>
      </c>
      <c r="N9" s="12" t="n">
        <v>7</v>
      </c>
      <c r="O9" s="12" t="n">
        <v>6</v>
      </c>
      <c r="P9" s="12" t="n">
        <v>6</v>
      </c>
      <c r="Q9" s="12" t="n">
        <v>5</v>
      </c>
      <c r="R9" s="12" t="n">
        <v>6</v>
      </c>
      <c r="S9" s="12" t="n">
        <v>6</v>
      </c>
      <c r="T9" s="12" t="n">
        <v>5</v>
      </c>
      <c r="U9" s="12" t="n">
        <v>6</v>
      </c>
      <c r="V9" s="12" t="n">
        <v>2</v>
      </c>
      <c r="W9" s="9" t="s">
        <v>111</v>
      </c>
      <c r="X9" s="9" t="s">
        <v>112</v>
      </c>
      <c r="Y9" s="9" t="s">
        <v>113</v>
      </c>
      <c r="Z9" s="9" t="s">
        <v>114</v>
      </c>
    </row>
    <row r="10" customFormat="false" ht="39.55" hidden="false" customHeight="false" outlineLevel="0" collapsed="false">
      <c r="A10" s="7" t="s">
        <v>115</v>
      </c>
      <c r="B10" s="7" t="s">
        <v>116</v>
      </c>
      <c r="C10" s="7" t="s">
        <v>117</v>
      </c>
      <c r="D10" s="7" t="s">
        <v>86</v>
      </c>
      <c r="E10" s="7" t="s">
        <v>118</v>
      </c>
      <c r="F10" s="7" t="s">
        <v>73</v>
      </c>
      <c r="G10" s="11" t="n">
        <v>6</v>
      </c>
      <c r="H10" s="11" t="n">
        <v>5</v>
      </c>
      <c r="I10" s="11" t="n">
        <v>3</v>
      </c>
      <c r="J10" s="11" t="n">
        <v>5</v>
      </c>
      <c r="K10" s="11" t="n">
        <v>6</v>
      </c>
      <c r="L10" s="11" t="n">
        <v>6</v>
      </c>
      <c r="M10" s="11" t="n">
        <v>5</v>
      </c>
      <c r="N10" s="11" t="n">
        <v>6</v>
      </c>
      <c r="O10" s="11" t="n">
        <v>6</v>
      </c>
      <c r="P10" s="11" t="n">
        <v>6</v>
      </c>
      <c r="Q10" s="11" t="n">
        <v>4</v>
      </c>
      <c r="R10" s="11" t="n">
        <v>6</v>
      </c>
      <c r="S10" s="11" t="n">
        <v>5</v>
      </c>
      <c r="T10" s="11" t="n">
        <v>4</v>
      </c>
      <c r="U10" s="11" t="n">
        <v>5</v>
      </c>
      <c r="V10" s="11" t="n">
        <v>4</v>
      </c>
      <c r="W10" s="7" t="s">
        <v>119</v>
      </c>
      <c r="X10" s="7" t="s">
        <v>120</v>
      </c>
      <c r="Y10" s="7" t="s">
        <v>121</v>
      </c>
      <c r="Z10" s="7" t="s">
        <v>122</v>
      </c>
    </row>
    <row r="11" customFormat="false" ht="52.2" hidden="false" customHeight="false" outlineLevel="0" collapsed="false">
      <c r="A11" s="9" t="s">
        <v>123</v>
      </c>
      <c r="B11" s="9" t="s">
        <v>124</v>
      </c>
      <c r="C11" s="9" t="s">
        <v>70</v>
      </c>
      <c r="D11" s="9" t="s">
        <v>71</v>
      </c>
      <c r="E11" s="9" t="s">
        <v>125</v>
      </c>
      <c r="F11" s="9" t="s">
        <v>73</v>
      </c>
      <c r="G11" s="12" t="n">
        <v>6</v>
      </c>
      <c r="H11" s="12" t="n">
        <v>7</v>
      </c>
      <c r="I11" s="12" t="n">
        <v>5</v>
      </c>
      <c r="J11" s="12" t="n">
        <v>5</v>
      </c>
      <c r="K11" s="12" t="n">
        <v>7</v>
      </c>
      <c r="L11" s="12" t="n">
        <v>6</v>
      </c>
      <c r="M11" s="12" t="n">
        <v>6</v>
      </c>
      <c r="N11" s="12" t="n">
        <v>7</v>
      </c>
      <c r="O11" s="12" t="n">
        <v>7</v>
      </c>
      <c r="P11" s="12" t="n">
        <v>7</v>
      </c>
      <c r="Q11" s="12" t="n">
        <v>6</v>
      </c>
      <c r="R11" s="12" t="n">
        <v>6</v>
      </c>
      <c r="S11" s="12" t="n">
        <v>6</v>
      </c>
      <c r="T11" s="12" t="n">
        <v>5</v>
      </c>
      <c r="U11" s="12" t="n">
        <v>7</v>
      </c>
      <c r="V11" s="12" t="n">
        <v>2</v>
      </c>
      <c r="W11" s="9" t="s">
        <v>126</v>
      </c>
      <c r="X11" s="9" t="s">
        <v>127</v>
      </c>
      <c r="Y11" s="9" t="s">
        <v>128</v>
      </c>
      <c r="Z11" s="9" t="s">
        <v>129</v>
      </c>
    </row>
    <row r="12" customFormat="false" ht="52.2" hidden="false" customHeight="false" outlineLevel="0" collapsed="false">
      <c r="A12" s="7" t="s">
        <v>130</v>
      </c>
      <c r="B12" s="7" t="s">
        <v>131</v>
      </c>
      <c r="C12" s="7" t="s">
        <v>70</v>
      </c>
      <c r="D12" s="7" t="s">
        <v>132</v>
      </c>
      <c r="E12" s="7" t="s">
        <v>133</v>
      </c>
      <c r="F12" s="7" t="s">
        <v>96</v>
      </c>
      <c r="G12" s="11" t="n">
        <v>6</v>
      </c>
      <c r="H12" s="11" t="n">
        <v>6</v>
      </c>
      <c r="I12" s="11" t="n">
        <v>4</v>
      </c>
      <c r="J12" s="11" t="n">
        <v>5</v>
      </c>
      <c r="K12" s="11" t="n">
        <v>6</v>
      </c>
      <c r="L12" s="11" t="n">
        <v>6</v>
      </c>
      <c r="M12" s="11" t="n">
        <v>5</v>
      </c>
      <c r="N12" s="11" t="n">
        <v>6</v>
      </c>
      <c r="O12" s="11" t="n">
        <v>7</v>
      </c>
      <c r="P12" s="11" t="n">
        <v>6</v>
      </c>
      <c r="Q12" s="11" t="n">
        <v>5</v>
      </c>
      <c r="R12" s="11" t="n">
        <v>6</v>
      </c>
      <c r="S12" s="11" t="n">
        <v>5</v>
      </c>
      <c r="T12" s="11" t="n">
        <v>5</v>
      </c>
      <c r="U12" s="11" t="n">
        <v>6</v>
      </c>
      <c r="V12" s="11" t="n">
        <v>3</v>
      </c>
      <c r="W12" s="7" t="s">
        <v>134</v>
      </c>
      <c r="X12" s="7" t="s">
        <v>135</v>
      </c>
      <c r="Y12" s="7" t="s">
        <v>136</v>
      </c>
      <c r="Z12" s="7" t="s">
        <v>137</v>
      </c>
    </row>
    <row r="13" customFormat="false" ht="52.2" hidden="false" customHeight="false" outlineLevel="0" collapsed="false">
      <c r="A13" s="9" t="s">
        <v>138</v>
      </c>
      <c r="B13" s="9" t="s">
        <v>139</v>
      </c>
      <c r="C13" s="9" t="s">
        <v>117</v>
      </c>
      <c r="D13" s="9" t="s">
        <v>86</v>
      </c>
      <c r="E13" s="9" t="s">
        <v>140</v>
      </c>
      <c r="F13" s="9" t="s">
        <v>73</v>
      </c>
      <c r="G13" s="12" t="n">
        <v>6</v>
      </c>
      <c r="H13" s="12" t="n">
        <v>6</v>
      </c>
      <c r="I13" s="12" t="n">
        <v>5</v>
      </c>
      <c r="J13" s="12" t="n">
        <v>5</v>
      </c>
      <c r="K13" s="12" t="n">
        <v>7</v>
      </c>
      <c r="L13" s="12" t="n">
        <v>6</v>
      </c>
      <c r="M13" s="12" t="n">
        <v>7</v>
      </c>
      <c r="N13" s="12" t="n">
        <v>7</v>
      </c>
      <c r="O13" s="12" t="n">
        <v>7</v>
      </c>
      <c r="P13" s="12" t="n">
        <v>6</v>
      </c>
      <c r="Q13" s="12" t="n">
        <v>5</v>
      </c>
      <c r="R13" s="12" t="n">
        <v>6</v>
      </c>
      <c r="S13" s="12" t="n">
        <v>6</v>
      </c>
      <c r="T13" s="12" t="n">
        <v>5</v>
      </c>
      <c r="U13" s="12" t="n">
        <v>6</v>
      </c>
      <c r="V13" s="12" t="n">
        <v>2</v>
      </c>
      <c r="W13" s="9" t="s">
        <v>141</v>
      </c>
      <c r="X13" s="9" t="s">
        <v>142</v>
      </c>
      <c r="Y13" s="9" t="s">
        <v>143</v>
      </c>
      <c r="Z13" s="9" t="s">
        <v>144</v>
      </c>
    </row>
  </sheetData>
  <conditionalFormatting sqref="G4:U13">
    <cfRule type="colorScale" priority="2">
      <colorScale>
        <cfvo type="num" val="1"/>
        <cfvo type="num" val="4"/>
        <cfvo type="num" val="7"/>
        <color rgb="FFF8D7DA"/>
        <color rgb="FFFFF3CD"/>
        <color rgb="FFD4ED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22.05" hidden="false" customHeight="false" outlineLevel="0" collapsed="false">
      <c r="A1" s="10" t="s">
        <v>145</v>
      </c>
    </row>
    <row r="3" customFormat="false" ht="15" hidden="false" customHeight="false" outlineLevel="0" collapsed="false">
      <c r="A3" s="3" t="s">
        <v>5</v>
      </c>
      <c r="B3" s="3" t="s">
        <v>146</v>
      </c>
      <c r="C3" s="3" t="s">
        <v>147</v>
      </c>
      <c r="D3" s="3" t="s">
        <v>148</v>
      </c>
      <c r="E3" s="3" t="s">
        <v>149</v>
      </c>
      <c r="F3" s="3" t="s">
        <v>150</v>
      </c>
    </row>
    <row r="4" customFormat="false" ht="15" hidden="false" customHeight="false" outlineLevel="0" collapsed="false">
      <c r="A4" s="7" t="s">
        <v>151</v>
      </c>
      <c r="B4" s="11" t="n">
        <f aca="false">ROUND(AVERAGE(Responses!G4:G13),2)</f>
        <v>6.3</v>
      </c>
      <c r="C4" s="11" t="n">
        <f aca="false">MIN(Responses!G4:G13)</f>
        <v>6</v>
      </c>
      <c r="D4" s="11" t="n">
        <f aca="false">MAX(Responses!G4:G13)</f>
        <v>7</v>
      </c>
      <c r="E4" s="13" t="n">
        <f aca="false">COUNTIF(Responses!G4:G13,"&gt;=6")/COUNT(Responses!G4:G13)</f>
        <v>1</v>
      </c>
      <c r="F4" s="13" t="n">
        <f aca="false">COUNTIF(Responses!G4:G13,"&lt;=3")/COUNT(Responses!G4:G13)</f>
        <v>0</v>
      </c>
    </row>
    <row r="5" customFormat="false" ht="15" hidden="false" customHeight="false" outlineLevel="0" collapsed="false">
      <c r="A5" s="9" t="s">
        <v>152</v>
      </c>
      <c r="B5" s="12" t="n">
        <f aca="false">ROUND(AVERAGE(Responses!H4:H13),2)</f>
        <v>6.1</v>
      </c>
      <c r="C5" s="12" t="n">
        <f aca="false">MIN(Responses!H4:H13)</f>
        <v>5</v>
      </c>
      <c r="D5" s="12" t="n">
        <f aca="false">MAX(Responses!H4:H13)</f>
        <v>7</v>
      </c>
      <c r="E5" s="14" t="n">
        <f aca="false">COUNTIF(Responses!H4:H13,"&gt;=6")/COUNT(Responses!H4:H13)</f>
        <v>0.9</v>
      </c>
      <c r="F5" s="14" t="n">
        <f aca="false">COUNTIF(Responses!H4:H13,"&lt;=3")/COUNT(Responses!H4:H13)</f>
        <v>0</v>
      </c>
    </row>
    <row r="6" customFormat="false" ht="15" hidden="false" customHeight="false" outlineLevel="0" collapsed="false">
      <c r="A6" s="7" t="s">
        <v>153</v>
      </c>
      <c r="B6" s="11" t="n">
        <f aca="false">ROUND(AVERAGE(Responses!I4:I13),2)</f>
        <v>3.9</v>
      </c>
      <c r="C6" s="11" t="n">
        <f aca="false">MIN(Responses!I4:I13)</f>
        <v>2</v>
      </c>
      <c r="D6" s="11" t="n">
        <f aca="false">MAX(Responses!I4:I13)</f>
        <v>5</v>
      </c>
      <c r="E6" s="13" t="n">
        <f aca="false">COUNTIF(Responses!I4:I13,"&gt;=6")/COUNT(Responses!I4:I13)</f>
        <v>0</v>
      </c>
      <c r="F6" s="13" t="n">
        <f aca="false">COUNTIF(Responses!I4:I13,"&lt;=3")/COUNT(Responses!I4:I13)</f>
        <v>0.3</v>
      </c>
    </row>
    <row r="7" customFormat="false" ht="15" hidden="false" customHeight="false" outlineLevel="0" collapsed="false">
      <c r="A7" s="9" t="s">
        <v>154</v>
      </c>
      <c r="B7" s="12" t="n">
        <f aca="false">ROUND(AVERAGE(Responses!J4:J13),2)</f>
        <v>5.6</v>
      </c>
      <c r="C7" s="12" t="n">
        <f aca="false">MIN(Responses!J4:J13)</f>
        <v>5</v>
      </c>
      <c r="D7" s="12" t="n">
        <f aca="false">MAX(Responses!J4:J13)</f>
        <v>7</v>
      </c>
      <c r="E7" s="14" t="n">
        <f aca="false">COUNTIF(Responses!J4:J13,"&gt;=6")/COUNT(Responses!J4:J13)</f>
        <v>0.4</v>
      </c>
      <c r="F7" s="14" t="n">
        <f aca="false">COUNTIF(Responses!J4:J13,"&lt;=3")/COUNT(Responses!J4:J13)</f>
        <v>0</v>
      </c>
    </row>
    <row r="8" customFormat="false" ht="15" hidden="false" customHeight="false" outlineLevel="0" collapsed="false">
      <c r="A8" s="7" t="s">
        <v>155</v>
      </c>
      <c r="B8" s="11" t="n">
        <f aca="false">ROUND(AVERAGE(Responses!K4:K13),2)</f>
        <v>6.2</v>
      </c>
      <c r="C8" s="11" t="n">
        <f aca="false">MIN(Responses!K4:K13)</f>
        <v>4</v>
      </c>
      <c r="D8" s="11" t="n">
        <f aca="false">MAX(Responses!K4:K13)</f>
        <v>7</v>
      </c>
      <c r="E8" s="13" t="n">
        <f aca="false">COUNTIF(Responses!K4:K13,"&gt;=6")/COUNT(Responses!K4:K13)</f>
        <v>0.8</v>
      </c>
      <c r="F8" s="13" t="n">
        <f aca="false">COUNTIF(Responses!K4:K13,"&lt;=3")/COUNT(Responses!K4:K13)</f>
        <v>0</v>
      </c>
    </row>
    <row r="9" customFormat="false" ht="15" hidden="false" customHeight="false" outlineLevel="0" collapsed="false">
      <c r="A9" s="9" t="s">
        <v>156</v>
      </c>
      <c r="B9" s="12" t="n">
        <f aca="false">ROUND(AVERAGE(Responses!L4:L13),2)</f>
        <v>6</v>
      </c>
      <c r="C9" s="12" t="n">
        <f aca="false">MIN(Responses!L4:L13)</f>
        <v>5</v>
      </c>
      <c r="D9" s="12" t="n">
        <f aca="false">MAX(Responses!L4:L13)</f>
        <v>7</v>
      </c>
      <c r="E9" s="14" t="n">
        <f aca="false">COUNTIF(Responses!L4:L13,"&gt;=6")/COUNT(Responses!L4:L13)</f>
        <v>0.8</v>
      </c>
      <c r="F9" s="14" t="n">
        <f aca="false">COUNTIF(Responses!L4:L13,"&lt;=3")/COUNT(Responses!L4:L13)</f>
        <v>0</v>
      </c>
    </row>
    <row r="10" customFormat="false" ht="15" hidden="false" customHeight="false" outlineLevel="0" collapsed="false">
      <c r="A10" s="7" t="s">
        <v>157</v>
      </c>
      <c r="B10" s="11" t="n">
        <f aca="false">ROUND(AVERAGE(Responses!M4:M13),2)</f>
        <v>5.9</v>
      </c>
      <c r="C10" s="11" t="n">
        <f aca="false">MIN(Responses!M4:M13)</f>
        <v>5</v>
      </c>
      <c r="D10" s="11" t="n">
        <f aca="false">MAX(Responses!M4:M13)</f>
        <v>7</v>
      </c>
      <c r="E10" s="13" t="n">
        <f aca="false">COUNTIF(Responses!M4:M13,"&gt;=6")/COUNT(Responses!M4:M13)</f>
        <v>0.6</v>
      </c>
      <c r="F10" s="13" t="n">
        <f aca="false">COUNTIF(Responses!M4:M13,"&lt;=3")/COUNT(Responses!M4:M13)</f>
        <v>0</v>
      </c>
    </row>
    <row r="11" customFormat="false" ht="15" hidden="false" customHeight="false" outlineLevel="0" collapsed="false">
      <c r="A11" s="9" t="s">
        <v>158</v>
      </c>
      <c r="B11" s="12" t="n">
        <f aca="false">ROUND(AVERAGE(Responses!N4:N13),2)</f>
        <v>6.4</v>
      </c>
      <c r="C11" s="12" t="n">
        <f aca="false">MIN(Responses!N4:N13)</f>
        <v>5</v>
      </c>
      <c r="D11" s="12" t="n">
        <f aca="false">MAX(Responses!N4:N13)</f>
        <v>7</v>
      </c>
      <c r="E11" s="14" t="n">
        <f aca="false">COUNTIF(Responses!N4:N13,"&gt;=6")/COUNT(Responses!N4:N13)</f>
        <v>0.9</v>
      </c>
      <c r="F11" s="14" t="n">
        <f aca="false">COUNTIF(Responses!N4:N13,"&lt;=3")/COUNT(Responses!N4:N13)</f>
        <v>0</v>
      </c>
    </row>
    <row r="12" customFormat="false" ht="15" hidden="false" customHeight="false" outlineLevel="0" collapsed="false">
      <c r="A12" s="7" t="s">
        <v>159</v>
      </c>
      <c r="B12" s="11" t="n">
        <f aca="false">ROUND(AVERAGE(Responses!O4:O13),2)</f>
        <v>6.2</v>
      </c>
      <c r="C12" s="11" t="n">
        <f aca="false">MIN(Responses!O4:O13)</f>
        <v>5</v>
      </c>
      <c r="D12" s="11" t="n">
        <f aca="false">MAX(Responses!O4:O13)</f>
        <v>7</v>
      </c>
      <c r="E12" s="13" t="n">
        <f aca="false">COUNTIF(Responses!O4:O13,"&gt;=6")/COUNT(Responses!O4:O13)</f>
        <v>0.8</v>
      </c>
      <c r="F12" s="13" t="n">
        <f aca="false">COUNTIF(Responses!O4:O13,"&lt;=3")/COUNT(Responses!O4:O13)</f>
        <v>0</v>
      </c>
    </row>
    <row r="13" customFormat="false" ht="15" hidden="false" customHeight="false" outlineLevel="0" collapsed="false">
      <c r="A13" s="9" t="s">
        <v>160</v>
      </c>
      <c r="B13" s="12" t="n">
        <f aca="false">ROUND(AVERAGE(Responses!P4:P13),2)</f>
        <v>6.3</v>
      </c>
      <c r="C13" s="12" t="n">
        <f aca="false">MIN(Responses!P4:P13)</f>
        <v>6</v>
      </c>
      <c r="D13" s="12" t="n">
        <f aca="false">MAX(Responses!P4:P13)</f>
        <v>7</v>
      </c>
      <c r="E13" s="14" t="n">
        <f aca="false">COUNTIF(Responses!P4:P13,"&gt;=6")/COUNT(Responses!P4:P13)</f>
        <v>1</v>
      </c>
      <c r="F13" s="14" t="n">
        <f aca="false">COUNTIF(Responses!P4:P13,"&lt;=3")/COUNT(Responses!P4:P13)</f>
        <v>0</v>
      </c>
    </row>
    <row r="14" customFormat="false" ht="15" hidden="false" customHeight="false" outlineLevel="0" collapsed="false">
      <c r="A14" s="7" t="s">
        <v>161</v>
      </c>
      <c r="B14" s="11" t="n">
        <f aca="false">ROUND(AVERAGE(Responses!Q4:Q13),2)</f>
        <v>4.9</v>
      </c>
      <c r="C14" s="11" t="n">
        <f aca="false">MIN(Responses!Q4:Q13)</f>
        <v>4</v>
      </c>
      <c r="D14" s="11" t="n">
        <f aca="false">MAX(Responses!Q4:Q13)</f>
        <v>6</v>
      </c>
      <c r="E14" s="13" t="n">
        <f aca="false">COUNTIF(Responses!Q4:Q13,"&gt;=6")/COUNT(Responses!Q4:Q13)</f>
        <v>0.2</v>
      </c>
      <c r="F14" s="13" t="n">
        <f aca="false">COUNTIF(Responses!Q4:Q13,"&lt;=3")/COUNT(Responses!Q4:Q13)</f>
        <v>0</v>
      </c>
    </row>
    <row r="15" customFormat="false" ht="15" hidden="false" customHeight="false" outlineLevel="0" collapsed="false">
      <c r="A15" s="9" t="s">
        <v>162</v>
      </c>
      <c r="B15" s="12" t="n">
        <f aca="false">ROUND(AVERAGE(Responses!R4:R13),2)</f>
        <v>5.7</v>
      </c>
      <c r="C15" s="12" t="n">
        <f aca="false">MIN(Responses!R4:R13)</f>
        <v>4</v>
      </c>
      <c r="D15" s="12" t="n">
        <f aca="false">MAX(Responses!R4:R13)</f>
        <v>6</v>
      </c>
      <c r="E15" s="14" t="n">
        <f aca="false">COUNTIF(Responses!R4:R13,"&gt;=6")/COUNT(Responses!R4:R13)</f>
        <v>0.8</v>
      </c>
      <c r="F15" s="14" t="n">
        <f aca="false">COUNTIF(Responses!R4:R13,"&lt;=3")/COUNT(Responses!R4:R13)</f>
        <v>0</v>
      </c>
    </row>
    <row r="16" customFormat="false" ht="15" hidden="false" customHeight="false" outlineLevel="0" collapsed="false">
      <c r="A16" s="7" t="s">
        <v>163</v>
      </c>
      <c r="B16" s="11" t="n">
        <f aca="false">ROUND(AVERAGE(Responses!S4:S13),2)</f>
        <v>5.3</v>
      </c>
      <c r="C16" s="11" t="n">
        <f aca="false">MIN(Responses!S4:S13)</f>
        <v>4</v>
      </c>
      <c r="D16" s="11" t="n">
        <f aca="false">MAX(Responses!S4:S13)</f>
        <v>6</v>
      </c>
      <c r="E16" s="13" t="n">
        <f aca="false">COUNTIF(Responses!S4:S13,"&gt;=6")/COUNT(Responses!S4:S13)</f>
        <v>0.4</v>
      </c>
      <c r="F16" s="13" t="n">
        <f aca="false">COUNTIF(Responses!S4:S13,"&lt;=3")/COUNT(Responses!S4:S13)</f>
        <v>0</v>
      </c>
    </row>
    <row r="17" customFormat="false" ht="15" hidden="false" customHeight="false" outlineLevel="0" collapsed="false">
      <c r="A17" s="9" t="s">
        <v>164</v>
      </c>
      <c r="B17" s="12" t="n">
        <f aca="false">ROUND(AVERAGE(Responses!T4:T13),2)</f>
        <v>4.9</v>
      </c>
      <c r="C17" s="12" t="n">
        <f aca="false">MIN(Responses!T4:T13)</f>
        <v>4</v>
      </c>
      <c r="D17" s="12" t="n">
        <f aca="false">MAX(Responses!T4:T13)</f>
        <v>6</v>
      </c>
      <c r="E17" s="14" t="n">
        <f aca="false">COUNTIF(Responses!T4:T13,"&gt;=6")/COUNT(Responses!T4:T13)</f>
        <v>0.1</v>
      </c>
      <c r="F17" s="14" t="n">
        <f aca="false">COUNTIF(Responses!T4:T13,"&lt;=3")/COUNT(Responses!T4:T13)</f>
        <v>0</v>
      </c>
    </row>
    <row r="18" customFormat="false" ht="15" hidden="false" customHeight="false" outlineLevel="0" collapsed="false">
      <c r="A18" s="7" t="s">
        <v>165</v>
      </c>
      <c r="B18" s="11" t="n">
        <f aca="false">ROUND(AVERAGE(Responses!U4:U13),2)</f>
        <v>6</v>
      </c>
      <c r="C18" s="11" t="n">
        <f aca="false">MIN(Responses!U4:U13)</f>
        <v>5</v>
      </c>
      <c r="D18" s="11" t="n">
        <f aca="false">MAX(Responses!U4:U13)</f>
        <v>7</v>
      </c>
      <c r="E18" s="13" t="n">
        <f aca="false">COUNTIF(Responses!U4:U13,"&gt;=6")/COUNT(Responses!U4:U13)</f>
        <v>0.7</v>
      </c>
      <c r="F18" s="13" t="n">
        <f aca="false">COUNTIF(Responses!U4:U13,"&lt;=3")/COUNT(Responses!U4:U13)</f>
        <v>0</v>
      </c>
    </row>
    <row r="19" customFormat="false" ht="15" hidden="false" customHeight="false" outlineLevel="0" collapsed="false">
      <c r="A19" s="9" t="s">
        <v>166</v>
      </c>
      <c r="B19" s="12" t="n">
        <f aca="false">ROUND(AVERAGE(Responses!V4:V13),2)</f>
        <v>2.6</v>
      </c>
      <c r="C19" s="12" t="n">
        <f aca="false">MIN(Responses!V4:V13)</f>
        <v>1</v>
      </c>
      <c r="D19" s="12" t="n">
        <f aca="false">MAX(Responses!V4:V13)</f>
        <v>4</v>
      </c>
      <c r="E19" s="14" t="n">
        <f aca="false">COUNTIF(Responses!V4:V13,"&gt;=6")/COUNT(Responses!V4:V13)</f>
        <v>0</v>
      </c>
      <c r="F19" s="14" t="n">
        <f aca="false">COUNTIF(Responses!V4:V13,"&lt;=3")/COUNT(Responses!V4:V13)</f>
        <v>0.7</v>
      </c>
    </row>
    <row r="22" customFormat="false" ht="15" hidden="false" customHeight="false" outlineLevel="0" collapsed="false">
      <c r="A22" s="15" t="s">
        <v>167</v>
      </c>
    </row>
    <row r="23" customFormat="false" ht="49.5" hidden="false" customHeight="true" outlineLevel="0" collapsed="false">
      <c r="A23" s="16" t="s">
        <v>168</v>
      </c>
      <c r="B23" s="7" t="s">
        <v>169</v>
      </c>
      <c r="C23" s="7"/>
      <c r="D23" s="7"/>
      <c r="E23" s="7"/>
      <c r="F23" s="7"/>
    </row>
    <row r="24" customFormat="false" ht="49.5" hidden="false" customHeight="true" outlineLevel="0" collapsed="false">
      <c r="A24" s="16" t="s">
        <v>170</v>
      </c>
      <c r="B24" s="7" t="s">
        <v>171</v>
      </c>
      <c r="C24" s="7"/>
      <c r="D24" s="7"/>
      <c r="E24" s="7"/>
      <c r="F24" s="7"/>
    </row>
    <row r="25" customFormat="false" ht="49.5" hidden="false" customHeight="true" outlineLevel="0" collapsed="false">
      <c r="A25" s="16" t="s">
        <v>172</v>
      </c>
      <c r="B25" s="7" t="s">
        <v>173</v>
      </c>
      <c r="C25" s="7"/>
      <c r="D25" s="7"/>
      <c r="E25" s="7"/>
      <c r="F25" s="7"/>
    </row>
    <row r="26" customFormat="false" ht="49.5" hidden="false" customHeight="true" outlineLevel="0" collapsed="false">
      <c r="A26" s="16" t="s">
        <v>174</v>
      </c>
      <c r="B26" s="7" t="s">
        <v>175</v>
      </c>
      <c r="C26" s="7"/>
      <c r="D26" s="7"/>
      <c r="E26" s="7"/>
      <c r="F26" s="7"/>
    </row>
  </sheetData>
  <mergeCells count="4"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2026-05-04T01:23:57Z</dcterms:created>
  <dc:creator>openpyxl</dc:creator>
  <dc:description/>
  <dc:language>en-US</dc:language>
  <cp:lastModifiedBy/>
  <dcterms:modified xsi:type="dcterms:W3CDTF">2026-05-04T01:23:57Z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